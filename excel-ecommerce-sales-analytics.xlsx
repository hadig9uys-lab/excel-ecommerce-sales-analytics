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F3C905-46E4-4A2B-8774-BECE68E956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ecutive Dashboard" sheetId="1" r:id="rId1"/>
    <sheet name="Customer Operations" sheetId="2" r:id="rId2"/>
    <sheet name="Chart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8" i="3" l="1"/>
  <c r="L7" i="2" s="1"/>
  <c r="AF7" i="3"/>
  <c r="G7" i="2" s="1"/>
  <c r="Q7" i="2"/>
  <c r="B7" i="2"/>
  <c r="Q7" i="1"/>
  <c r="L7" i="1"/>
  <c r="G7" i="1"/>
  <c r="B7" i="1"/>
</calcChain>
</file>

<file path=xl/sharedStrings.xml><?xml version="1.0" encoding="utf-8"?>
<sst xmlns="http://schemas.openxmlformats.org/spreadsheetml/2006/main" count="169" uniqueCount="105">
  <si>
    <t>E-COMMERCE  /  SALES OVERVIEW</t>
  </si>
  <si>
    <t>OLIST   /   BRAZIL</t>
  </si>
  <si>
    <t>Executive performance  •  Historical Olist transactions  •  Brazilian real (BRL)</t>
  </si>
  <si>
    <t>PRODUCT SALES</t>
  </si>
  <si>
    <t>TOTAL ORDERS</t>
  </si>
  <si>
    <t>AVG ORDER VALUE</t>
  </si>
  <si>
    <t>UNIQUE CUSTOMERS</t>
  </si>
  <si>
    <t>Product prices, excluding freight</t>
  </si>
  <si>
    <t>Distinct recorded orders</t>
  </si>
  <si>
    <t>Product sales per item-bearing order</t>
  </si>
  <si>
    <t>Source workbook snapshot</t>
  </si>
  <si>
    <t>01  /  REVENUE &amp; CUSTOMER DEMAND</t>
  </si>
  <si>
    <t>02  /  CATEGORY &amp; REGIONAL CONTRIBUTION</t>
  </si>
  <si>
    <t>03  /  ORDER ECONOMICS</t>
  </si>
  <si>
    <t>E-COMMERCE  /  OPERATIONS</t>
  </si>
  <si>
    <t>Delivery performance  •  Payment channels  •  Customer feedback</t>
  </si>
  <si>
    <t>DELIVERED ON TIME</t>
  </si>
  <si>
    <t>LATE DELIVERY RATE</t>
  </si>
  <si>
    <t>AVG REVIEW SCORE</t>
  </si>
  <si>
    <t>TOTAL PAYMENTS</t>
  </si>
  <si>
    <t>Orders in on-time class</t>
  </si>
  <si>
    <t>Late / delivered orders</t>
  </si>
  <si>
    <t>Rating scale 1–5</t>
  </si>
  <si>
    <t>Includes payment components</t>
  </si>
  <si>
    <t>01  /  FULFILLMENT QUALITY</t>
  </si>
  <si>
    <t>02  /  PAYMENT &amp; ORDER LIFECYCLE</t>
  </si>
  <si>
    <t>INSIGHT  /  The delivery and review distributions should be interpreted together; these aggregated charts do not establish a causal link.</t>
  </si>
  <si>
    <t>Label</t>
  </si>
  <si>
    <t>Monthly Revenue</t>
  </si>
  <si>
    <t>Categories</t>
  </si>
  <si>
    <t>States</t>
  </si>
  <si>
    <t>Orders by Month</t>
  </si>
  <si>
    <t>AOV by Month</t>
  </si>
  <si>
    <t>Payment Methods</t>
  </si>
  <si>
    <t>Delivery Status</t>
  </si>
  <si>
    <t>Review Score</t>
  </si>
  <si>
    <t>Order Status</t>
  </si>
  <si>
    <t>Top 5 Status</t>
  </si>
  <si>
    <t>KPI</t>
  </si>
  <si>
    <t>Value</t>
  </si>
  <si>
    <t>2016-09</t>
  </si>
  <si>
    <t>Health_Beauty</t>
  </si>
  <si>
    <t>SP</t>
  </si>
  <si>
    <t>credit_card</t>
  </si>
  <si>
    <t>On Time</t>
  </si>
  <si>
    <t>delivered</t>
  </si>
  <si>
    <t>Total Sales</t>
  </si>
  <si>
    <t>2016-10</t>
  </si>
  <si>
    <t>Watches_Gifts</t>
  </si>
  <si>
    <t>RJ</t>
  </si>
  <si>
    <t>boleto</t>
  </si>
  <si>
    <t>Late</t>
  </si>
  <si>
    <t>shipped</t>
  </si>
  <si>
    <t>Total Orders</t>
  </si>
  <si>
    <t>2016-12</t>
  </si>
  <si>
    <t>Bed_Bath_Table</t>
  </si>
  <si>
    <t>MG</t>
  </si>
  <si>
    <t>voucher</t>
  </si>
  <si>
    <t>Not Delivered</t>
  </si>
  <si>
    <t>canceled</t>
  </si>
  <si>
    <t>Average Order Value</t>
  </si>
  <si>
    <t>2017-01</t>
  </si>
  <si>
    <t>Sports_Leisure</t>
  </si>
  <si>
    <t>RS</t>
  </si>
  <si>
    <t>debit_card</t>
  </si>
  <si>
    <t>unavailable</t>
  </si>
  <si>
    <t>Unique Customers</t>
  </si>
  <si>
    <t>2017-02</t>
  </si>
  <si>
    <t>Computers_Accessories</t>
  </si>
  <si>
    <t>PR</t>
  </si>
  <si>
    <t>invoiced</t>
  </si>
  <si>
    <t>Late Delivery Rate</t>
  </si>
  <si>
    <t>2017-03</t>
  </si>
  <si>
    <t>Furniture_Decor</t>
  </si>
  <si>
    <t>SC</t>
  </si>
  <si>
    <t>processing</t>
  </si>
  <si>
    <t>Average Review Score</t>
  </si>
  <si>
    <t>2017-04</t>
  </si>
  <si>
    <t>Cool_Stuff</t>
  </si>
  <si>
    <t>BA</t>
  </si>
  <si>
    <t>created</t>
  </si>
  <si>
    <t>2017-05</t>
  </si>
  <si>
    <t>Housewares</t>
  </si>
  <si>
    <t>DF</t>
  </si>
  <si>
    <t>approved</t>
  </si>
  <si>
    <t>2017-06</t>
  </si>
  <si>
    <t>Auto</t>
  </si>
  <si>
    <t>GO</t>
  </si>
  <si>
    <t>2017-07</t>
  </si>
  <si>
    <t>Garden_Tools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</si>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</sst>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#,##0.00"/>
    <numFmt numFmtId="165" formatCode="0.0%"/>
    <numFmt numFmtId="166" formatCode="&quot;R$&quot;0.0,,&quot;M&quot;"/>
  </numFmts>
  <fonts count="10">
    <font>
      <sz val="11"/>
      <name val="Carlito"/>
    </font>
    <font>
      <b/>
      <sz val="10"/>
      <color rgb="FFFFFFFF"/>
      <name val="Carlito"/>
    </font>
    <font>
      <b/>
      <sz val="21"/>
      <color rgb="FFFFFFFF"/>
      <name val="Carlito"/>
    </font>
    <font>
      <sz val="10"/>
      <color rgb="FFC2D6E5"/>
      <name val="Carlito"/>
    </font>
    <font>
      <b/>
      <sz val="12"/>
      <color rgb="FFD3E7F0"/>
      <name val="Carlito"/>
    </font>
    <font>
      <b/>
      <sz val="10"/>
      <color rgb="FF6B7C90"/>
      <name val="Carlito"/>
    </font>
    <font>
      <b/>
      <sz val="23"/>
      <color rgb="FF23374E"/>
      <name val="Carlito"/>
    </font>
    <font>
      <sz val="9"/>
      <color rgb="FF6B7C90"/>
      <name val="Carlito"/>
    </font>
    <font>
      <b/>
      <sz val="11"/>
      <color rgb="FF213954"/>
      <name val="Carlito"/>
    </font>
    <font>
      <sz val="10"/>
      <color rgb="FF23374E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4253E"/>
      </patternFill>
    </fill>
    <fill>
      <patternFill patternType="solid">
        <fgColor rgb="FFF1F5F9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3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4" borderId="0" xfId="0" applyFont="1" applyFill="1"/>
    <xf numFmtId="166" fontId="6" fillId="4" borderId="0" xfId="0" applyNumberFormat="1" applyFont="1" applyFill="1"/>
    <xf numFmtId="0" fontId="6" fillId="4" borderId="0" xfId="0" applyFont="1" applyFill="1"/>
    <xf numFmtId="0" fontId="7" fillId="4" borderId="0" xfId="0" applyFont="1" applyFill="1"/>
    <xf numFmtId="3" fontId="6" fillId="4" borderId="0" xfId="0" applyNumberFormat="1" applyFont="1" applyFill="1"/>
    <xf numFmtId="164" fontId="6" fillId="4" borderId="0" xfId="0" applyNumberFormat="1" applyFont="1" applyFill="1"/>
    <xf numFmtId="0" fontId="8" fillId="3" borderId="0" xfId="0" applyFont="1" applyFill="1"/>
    <xf numFmtId="165" fontId="6" fillId="4" borderId="0" xfId="0" applyNumberFormat="1" applyFont="1" applyFill="1"/>
    <xf numFmtId="2" fontId="6" fillId="4" borderId="0" xfId="0" applyNumberFormat="1" applyFont="1" applyFill="1"/>
    <xf numFmtId="0" fontId="9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Monthly Revenue</c:v>
          </c:tx>
          <c:marker>
            <c:symbol val="none"/>
          </c:marker>
          <c:cat>
            <c:strRef>
              <c:f>'Chart Data'!$A$3:$A$26</c:f>
              <c:strCache>
                <c:ptCount val="24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</c:strCache>
            </c:strRef>
          </c:cat>
          <c:val>
            <c:numRef>
              <c:f>'Chart Data'!$B$3:$B$26</c:f>
              <c:numCache>
                <c:formatCode>"R$"#,##0.00</c:formatCode>
                <c:ptCount val="24"/>
                <c:pt idx="0">
                  <c:v>267.36</c:v>
                </c:pt>
                <c:pt idx="1">
                  <c:v>49507.66</c:v>
                </c:pt>
                <c:pt idx="2">
                  <c:v>10.9</c:v>
                </c:pt>
                <c:pt idx="3">
                  <c:v>120312.87</c:v>
                </c:pt>
                <c:pt idx="4">
                  <c:v>247303.02</c:v>
                </c:pt>
                <c:pt idx="5">
                  <c:v>374344.3</c:v>
                </c:pt>
                <c:pt idx="6">
                  <c:v>359927.23</c:v>
                </c:pt>
                <c:pt idx="7">
                  <c:v>506071.14</c:v>
                </c:pt>
                <c:pt idx="8">
                  <c:v>433038.6</c:v>
                </c:pt>
                <c:pt idx="9">
                  <c:v>498031.48</c:v>
                </c:pt>
                <c:pt idx="10">
                  <c:v>573971.68000000005</c:v>
                </c:pt>
                <c:pt idx="11">
                  <c:v>624401.68999999994</c:v>
                </c:pt>
                <c:pt idx="12">
                  <c:v>664219.43000000005</c:v>
                </c:pt>
                <c:pt idx="13">
                  <c:v>1010271.37</c:v>
                </c:pt>
                <c:pt idx="14">
                  <c:v>743914.17</c:v>
                </c:pt>
                <c:pt idx="15">
                  <c:v>950030.36</c:v>
                </c:pt>
                <c:pt idx="16">
                  <c:v>844178.71</c:v>
                </c:pt>
                <c:pt idx="17">
                  <c:v>983213.44</c:v>
                </c:pt>
                <c:pt idx="18">
                  <c:v>996647.75</c:v>
                </c:pt>
                <c:pt idx="19">
                  <c:v>996517.68</c:v>
                </c:pt>
                <c:pt idx="20">
                  <c:v>865124.31</c:v>
                </c:pt>
                <c:pt idx="21">
                  <c:v>895507.22</c:v>
                </c:pt>
                <c:pt idx="22">
                  <c:v>854686.33</c:v>
                </c:pt>
                <c:pt idx="23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F-4649-938F-CE33613B0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Product Categories by Revenue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Categories</c:v>
          </c:tx>
          <c:spPr>
            <a:solidFill>
              <a:srgbClr val="007E87"/>
            </a:solidFill>
          </c:spPr>
          <c:invertIfNegative val="1"/>
          <c:cat>
            <c:strRef>
              <c:f>'Chart Data'!$D$3:$D$12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Cool_Stuff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Garden_Tools</c:v>
                </c:pt>
              </c:strCache>
            </c:strRef>
          </c:cat>
          <c:val>
            <c:numRef>
              <c:f>'Chart Data'!$E$3:$E$12</c:f>
              <c:numCache>
                <c:formatCode>"R$"#,##0.00</c:formatCode>
                <c:ptCount val="10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C390-4DE9-818B-3FF5662A9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Customer States by Revenue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States</c:v>
          </c:tx>
          <c:spPr>
            <a:solidFill>
              <a:srgbClr val="4678C9"/>
            </a:solidFill>
          </c:spPr>
          <c:invertIfNegative val="1"/>
          <c:cat>
            <c:strRef>
              <c:f>'Chart Data'!$G$3:$G$11</c:f>
              <c:strCache>
                <c:ptCount val="9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</c:strCache>
            </c:strRef>
          </c:cat>
          <c:val>
            <c:numRef>
              <c:f>'Chart Data'!$H$3:$H$11</c:f>
              <c:numCache>
                <c:formatCode>"R$"#,##0.00</c:formatCode>
                <c:ptCount val="9"/>
                <c:pt idx="0">
                  <c:v>5029301.62</c:v>
                </c:pt>
                <c:pt idx="1">
                  <c:v>1761061.69</c:v>
                </c:pt>
                <c:pt idx="2">
                  <c:v>1538554.66</c:v>
                </c:pt>
                <c:pt idx="3">
                  <c:v>724830.45</c:v>
                </c:pt>
                <c:pt idx="4">
                  <c:v>663836.18000000005</c:v>
                </c:pt>
                <c:pt idx="5">
                  <c:v>505246.71</c:v>
                </c:pt>
                <c:pt idx="6">
                  <c:v>497270.03</c:v>
                </c:pt>
                <c:pt idx="7">
                  <c:v>296259.55</c:v>
                </c:pt>
                <c:pt idx="8">
                  <c:v>286140.83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B3B-4764-8999-8ACCC439E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Order Volume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Orders by Month</c:v>
          </c:tx>
          <c:marker>
            <c:symbol val="none"/>
          </c:marker>
          <c:cat>
            <c:strRef>
              <c:f>'Chart Data'!$J$3:$J$27</c:f>
              <c:strCache>
                <c:ptCount val="25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  <c:pt idx="24">
                  <c:v>2018-10</c:v>
                </c:pt>
              </c:strCache>
            </c:strRef>
          </c:cat>
          <c:val>
            <c:numRef>
              <c:f>'Chart Data'!$K$3:$K$27</c:f>
              <c:numCache>
                <c:formatCode>#,##0</c:formatCode>
                <c:ptCount val="25"/>
                <c:pt idx="0">
                  <c:v>4</c:v>
                </c:pt>
                <c:pt idx="1">
                  <c:v>324</c:v>
                </c:pt>
                <c:pt idx="2">
                  <c:v>1</c:v>
                </c:pt>
                <c:pt idx="3">
                  <c:v>800</c:v>
                </c:pt>
                <c:pt idx="4">
                  <c:v>1780</c:v>
                </c:pt>
                <c:pt idx="5">
                  <c:v>2682</c:v>
                </c:pt>
                <c:pt idx="6">
                  <c:v>2404</c:v>
                </c:pt>
                <c:pt idx="7">
                  <c:v>3700</c:v>
                </c:pt>
                <c:pt idx="8">
                  <c:v>3245</c:v>
                </c:pt>
                <c:pt idx="9">
                  <c:v>4026</c:v>
                </c:pt>
                <c:pt idx="10">
                  <c:v>4331</c:v>
                </c:pt>
                <c:pt idx="11">
                  <c:v>4285</c:v>
                </c:pt>
                <c:pt idx="12">
                  <c:v>4631</c:v>
                </c:pt>
                <c:pt idx="13">
                  <c:v>7544</c:v>
                </c:pt>
                <c:pt idx="14">
                  <c:v>5673</c:v>
                </c:pt>
                <c:pt idx="15">
                  <c:v>7269</c:v>
                </c:pt>
                <c:pt idx="16">
                  <c:v>6728</c:v>
                </c:pt>
                <c:pt idx="17">
                  <c:v>7211</c:v>
                </c:pt>
                <c:pt idx="18">
                  <c:v>6939</c:v>
                </c:pt>
                <c:pt idx="19">
                  <c:v>6873</c:v>
                </c:pt>
                <c:pt idx="20">
                  <c:v>6167</c:v>
                </c:pt>
                <c:pt idx="21">
                  <c:v>6292</c:v>
                </c:pt>
                <c:pt idx="22">
                  <c:v>6512</c:v>
                </c:pt>
                <c:pt idx="23">
                  <c:v>16</c:v>
                </c:pt>
                <c:pt idx="2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60-4297-8E1D-A14B64610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Order Value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AOV by Month</c:v>
          </c:tx>
          <c:marker>
            <c:symbol val="none"/>
          </c:marker>
          <c:cat>
            <c:strRef>
              <c:f>'Chart Data'!$M$3:$M$26</c:f>
              <c:strCache>
                <c:ptCount val="24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</c:strCache>
            </c:strRef>
          </c:cat>
          <c:val>
            <c:numRef>
              <c:f>'Chart Data'!$N$3:$N$26</c:f>
              <c:numCache>
                <c:formatCode>"R$"#,##0.00</c:formatCode>
                <c:ptCount val="24"/>
                <c:pt idx="0">
                  <c:v>89.12</c:v>
                </c:pt>
                <c:pt idx="1">
                  <c:v>160.73915584415585</c:v>
                </c:pt>
                <c:pt idx="2">
                  <c:v>10.9</c:v>
                </c:pt>
                <c:pt idx="3">
                  <c:v>152.48779467680609</c:v>
                </c:pt>
                <c:pt idx="4">
                  <c:v>142.70226197345642</c:v>
                </c:pt>
                <c:pt idx="5">
                  <c:v>141.74339265429762</c:v>
                </c:pt>
                <c:pt idx="6">
                  <c:v>150.53418235048096</c:v>
                </c:pt>
                <c:pt idx="7">
                  <c:v>138.27080327868853</c:v>
                </c:pt>
                <c:pt idx="8">
                  <c:v>134.6094497979484</c:v>
                </c:pt>
                <c:pt idx="9">
                  <c:v>125.48034265558074</c:v>
                </c:pt>
                <c:pt idx="10">
                  <c:v>133.69943629163757</c:v>
                </c:pt>
                <c:pt idx="11">
                  <c:v>147.16042658496346</c:v>
                </c:pt>
                <c:pt idx="12">
                  <c:v>145.40705560420315</c:v>
                </c:pt>
                <c:pt idx="13">
                  <c:v>135.58869547711717</c:v>
                </c:pt>
                <c:pt idx="14">
                  <c:v>132.27492354196303</c:v>
                </c:pt>
                <c:pt idx="15">
                  <c:v>131.58315235457064</c:v>
                </c:pt>
                <c:pt idx="16">
                  <c:v>126.10975649835673</c:v>
                </c:pt>
                <c:pt idx="17">
                  <c:v>136.78539788536449</c:v>
                </c:pt>
                <c:pt idx="18">
                  <c:v>143.73345111047016</c:v>
                </c:pt>
                <c:pt idx="19">
                  <c:v>145.41334889829272</c:v>
                </c:pt>
                <c:pt idx="20">
                  <c:v>140.44225811688312</c:v>
                </c:pt>
                <c:pt idx="21">
                  <c:v>142.75581380519688</c:v>
                </c:pt>
                <c:pt idx="22">
                  <c:v>132.46843304401736</c:v>
                </c:pt>
                <c:pt idx="23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F-4AEC-BC00-15A299D1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Delivery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Delivery Status</c:v>
          </c:tx>
          <c:spPr>
            <a:solidFill>
              <a:srgbClr val="007E87"/>
            </a:solidFill>
          </c:spPr>
          <c:invertIfNegative val="1"/>
          <c:cat>
            <c:strRef>
              <c:f>'Chart Data'!$S$3:$S$5</c:f>
              <c:strCache>
                <c:ptCount val="3"/>
                <c:pt idx="0">
                  <c:v>On Time</c:v>
                </c:pt>
                <c:pt idx="1">
                  <c:v>Late</c:v>
                </c:pt>
                <c:pt idx="2">
                  <c:v>Not Delivered</c:v>
                </c:pt>
              </c:strCache>
            </c:strRef>
          </c:cat>
          <c:val>
            <c:numRef>
              <c:f>'Chart Data'!$T$3:$T$5</c:f>
              <c:numCache>
                <c:formatCode>#,##0</c:formatCode>
                <c:ptCount val="3"/>
                <c:pt idx="0">
                  <c:v>88649</c:v>
                </c:pt>
                <c:pt idx="1">
                  <c:v>7827</c:v>
                </c:pt>
                <c:pt idx="2">
                  <c:v>2965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0BA-44CD-ADB1-798E33E92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Customer Review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Review Score</c:v>
          </c:tx>
          <c:spPr>
            <a:solidFill>
              <a:srgbClr val="4678C9"/>
            </a:solidFill>
          </c:spPr>
          <c:invertIfNegative val="1"/>
          <c:cat>
            <c:numRef>
              <c:f>'Chart Data'!$V$3:$V$7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</c:numCache>
            </c:numRef>
          </c:cat>
          <c:val>
            <c:numRef>
              <c:f>'Chart Data'!$W$3:$W$7</c:f>
              <c:numCache>
                <c:formatCode>#,##0</c:formatCode>
                <c:ptCount val="5"/>
                <c:pt idx="0">
                  <c:v>57328</c:v>
                </c:pt>
                <c:pt idx="1">
                  <c:v>19142</c:v>
                </c:pt>
                <c:pt idx="2">
                  <c:v>11424</c:v>
                </c:pt>
                <c:pt idx="3">
                  <c:v>8179</c:v>
                </c:pt>
                <c:pt idx="4">
                  <c:v>3151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E90-437F-8227-51BD4DFE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Payment Value by Method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Payment Methods</c:v>
          </c:tx>
          <c:spPr>
            <a:solidFill>
              <a:srgbClr val="1B9BA5"/>
            </a:solidFill>
          </c:spPr>
          <c:invertIfNegative val="1"/>
          <c:cat>
            <c:strRef>
              <c:f>'Chart Data'!$P$3:$P$6</c:f>
              <c:strCache>
                <c:ptCount val="4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</c:strCache>
            </c:strRef>
          </c:cat>
          <c:val>
            <c:numRef>
              <c:f>'Chart Data'!$Q$3:$Q$6</c:f>
              <c:numCache>
                <c:formatCode>"R$"#,##0.00</c:formatCode>
                <c:ptCount val="4"/>
                <c:pt idx="0">
                  <c:v>12542084.189999999</c:v>
                </c:pt>
                <c:pt idx="1">
                  <c:v>2869361.27</c:v>
                </c:pt>
                <c:pt idx="2">
                  <c:v>379436.87</c:v>
                </c:pt>
                <c:pt idx="3">
                  <c:v>217989.79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DE1-47C6-9DD0-166DB7851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5 Order Status by Count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5 Status</c:v>
          </c:tx>
          <c:spPr>
            <a:solidFill>
              <a:srgbClr val="4678C9"/>
            </a:solidFill>
          </c:spPr>
          <c:invertIfNegative val="1"/>
          <c:cat>
            <c:strRef>
              <c:f>'Chart Data'!$AB$3:$AB$7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canceled</c:v>
                </c:pt>
                <c:pt idx="3">
                  <c:v>unavailable</c:v>
                </c:pt>
                <c:pt idx="4">
                  <c:v>invoiced</c:v>
                </c:pt>
              </c:strCache>
            </c:strRef>
          </c:cat>
          <c:val>
            <c:numRef>
              <c:f>'Chart Data'!$AC$3:$AC$7</c:f>
              <c:numCache>
                <c:formatCode>#,##0</c:formatCode>
                <c:ptCount val="5"/>
                <c:pt idx="0">
                  <c:v>96478</c:v>
                </c:pt>
                <c:pt idx="1">
                  <c:v>1107</c:v>
                </c:pt>
                <c:pt idx="2">
                  <c:v>625</c:v>
                </c:pt>
                <c:pt idx="3">
                  <c:v>609</c:v>
                </c:pt>
                <c:pt idx="4">
                  <c:v>314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D04-4A9A-A543-94D162792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21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11</xdr:col>
      <xdr:colOff>0</xdr:colOff>
      <xdr:row>50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32</xdr:row>
      <xdr:rowOff>0</xdr:rowOff>
    </xdr:from>
    <xdr:to>
      <xdr:col>21</xdr:col>
      <xdr:colOff>0</xdr:colOff>
      <xdr:row>50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11</xdr:col>
      <xdr:colOff>0</xdr:colOff>
      <xdr:row>69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52</xdr:row>
      <xdr:rowOff>0</xdr:rowOff>
    </xdr:from>
    <xdr:to>
      <xdr:col>21</xdr:col>
      <xdr:colOff>0</xdr:colOff>
      <xdr:row>69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0</xdr:rowOff>
    </xdr:from>
    <xdr:to>
      <xdr:col>21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11</xdr:col>
      <xdr:colOff>0</xdr:colOff>
      <xdr:row>56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35</xdr:row>
      <xdr:rowOff>0</xdr:rowOff>
    </xdr:from>
    <xdr:to>
      <xdr:col>21</xdr:col>
      <xdr:colOff>0</xdr:colOff>
      <xdr:row>56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E9F002-CF4F-40E9-BF0F-6B86D5B835E0}">
  <we:reference id="wa200010884" version="1.0.0.2" store="en-US" storeType="OMEX"/>
  <we:alternateReferences>
    <we:reference id="wa200010884" version="1.0.0.2" store="wa2000108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"/>
  <sheetViews>
    <sheetView showGridLines="0" tabSelected="1" zoomScale="40" zoomScaleNormal="40" workbookViewId="0"/>
  </sheetViews>
  <sheetFormatPr defaultRowHeight="14"/>
  <cols>
    <col min="1" max="22" width="10.4140625" customWidth="1"/>
  </cols>
  <sheetData>
    <row r="1" spans="1:22" ht="12.65" customHeight="1">
      <c r="A1" s="1"/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10" t="s">
        <v>1</v>
      </c>
      <c r="S1" s="10"/>
      <c r="T1" s="10"/>
      <c r="U1" s="10"/>
      <c r="V1" s="1"/>
    </row>
    <row r="2" spans="1:22" ht="12.65" customHeight="1">
      <c r="A2" s="1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10"/>
      <c r="S2" s="10"/>
      <c r="T2" s="10"/>
      <c r="U2" s="10"/>
      <c r="V2" s="1"/>
    </row>
    <row r="3" spans="1:22" ht="12.65" customHeight="1">
      <c r="A3" s="1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10"/>
      <c r="T3" s="10"/>
      <c r="U3" s="10"/>
      <c r="V3" s="1"/>
    </row>
    <row r="4" spans="1:22" ht="12.6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ht="12.65" customHeight="1">
      <c r="A5" s="7"/>
      <c r="B5" s="11" t="s">
        <v>3</v>
      </c>
      <c r="C5" s="11"/>
      <c r="D5" s="11"/>
      <c r="E5" s="11"/>
      <c r="F5" s="11"/>
      <c r="G5" s="11" t="s">
        <v>4</v>
      </c>
      <c r="H5" s="11"/>
      <c r="I5" s="11"/>
      <c r="J5" s="11"/>
      <c r="K5" s="11"/>
      <c r="L5" s="11" t="s">
        <v>5</v>
      </c>
      <c r="M5" s="11"/>
      <c r="N5" s="11"/>
      <c r="O5" s="11"/>
      <c r="P5" s="11"/>
      <c r="Q5" s="11" t="s">
        <v>6</v>
      </c>
      <c r="R5" s="11"/>
      <c r="S5" s="11"/>
      <c r="T5" s="11"/>
      <c r="U5" s="11"/>
      <c r="V5" s="7"/>
    </row>
    <row r="6" spans="1:22" ht="12.65" customHeight="1">
      <c r="A6" s="7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7"/>
    </row>
    <row r="7" spans="1:22" ht="12.65" customHeight="1">
      <c r="A7" s="7"/>
      <c r="B7" s="12">
        <f>'Chart Data'!AF3</f>
        <v>13591643.699999999</v>
      </c>
      <c r="C7" s="13"/>
      <c r="D7" s="13"/>
      <c r="E7" s="13"/>
      <c r="F7" s="13"/>
      <c r="G7" s="15">
        <f>'Chart Data'!AF4</f>
        <v>99441</v>
      </c>
      <c r="H7" s="13"/>
      <c r="I7" s="13"/>
      <c r="J7" s="13"/>
      <c r="K7" s="13"/>
      <c r="L7" s="16">
        <f>'Chart Data'!AF5</f>
        <v>137.75407637889444</v>
      </c>
      <c r="M7" s="13"/>
      <c r="N7" s="13"/>
      <c r="O7" s="13"/>
      <c r="P7" s="13"/>
      <c r="Q7" s="15">
        <f>'Chart Data'!AF6</f>
        <v>96096</v>
      </c>
      <c r="R7" s="13"/>
      <c r="S7" s="13"/>
      <c r="T7" s="13"/>
      <c r="U7" s="13"/>
      <c r="V7" s="7"/>
    </row>
    <row r="8" spans="1:22" ht="12.65" customHeight="1">
      <c r="A8" s="7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7"/>
    </row>
    <row r="9" spans="1:22" ht="12.65" customHeight="1">
      <c r="A9" s="7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7"/>
    </row>
    <row r="10" spans="1:22" ht="12.65" customHeight="1">
      <c r="A10" s="7"/>
      <c r="B10" s="14" t="s">
        <v>7</v>
      </c>
      <c r="C10" s="14"/>
      <c r="D10" s="14"/>
      <c r="E10" s="14"/>
      <c r="F10" s="14"/>
      <c r="G10" s="14" t="s">
        <v>8</v>
      </c>
      <c r="H10" s="14"/>
      <c r="I10" s="14"/>
      <c r="J10" s="14"/>
      <c r="K10" s="14"/>
      <c r="L10" s="14" t="s">
        <v>9</v>
      </c>
      <c r="M10" s="14"/>
      <c r="N10" s="14"/>
      <c r="O10" s="14"/>
      <c r="P10" s="14"/>
      <c r="Q10" s="14" t="s">
        <v>10</v>
      </c>
      <c r="R10" s="14"/>
      <c r="S10" s="14"/>
      <c r="T10" s="14"/>
      <c r="U10" s="14"/>
      <c r="V10" s="7"/>
    </row>
    <row r="11" spans="1:22" ht="12.6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2.65" customHeight="1">
      <c r="A12" s="7"/>
      <c r="B12" s="17" t="s">
        <v>11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7"/>
    </row>
    <row r="13" spans="1:22" ht="12.6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ht="12.6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ht="12.6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ht="12.6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ht="12.6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6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ht="12.6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ht="12.6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ht="12.6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ht="12.6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ht="12.6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6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ht="12.6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ht="12.6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ht="12.6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ht="12.6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ht="12.6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2.6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6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65" customHeight="1">
      <c r="A32" s="7"/>
      <c r="B32" s="17" t="s">
        <v>12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7"/>
    </row>
    <row r="33" spans="1:22" ht="12.6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2.6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2.6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ht="12.6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2.6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2.6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2.6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2.6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2.6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2.6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2.6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2.6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2.6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2.6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2.6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2.6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2.6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2.6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6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2.65" customHeight="1">
      <c r="A52" s="7"/>
      <c r="B52" s="17" t="s">
        <v>13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7"/>
    </row>
    <row r="53" spans="1:22" ht="12.6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2.6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2.6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2.6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2.6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2.6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2.6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2.6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2.6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2.6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2.6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2.6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2.6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ht="12.6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2.6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2.6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</sheetData>
  <mergeCells count="18">
    <mergeCell ref="Q10:U10"/>
    <mergeCell ref="B12:U12"/>
    <mergeCell ref="B32:U32"/>
    <mergeCell ref="B52:U52"/>
    <mergeCell ref="B10:F10"/>
    <mergeCell ref="G5:K6"/>
    <mergeCell ref="G7:K9"/>
    <mergeCell ref="G10:K10"/>
    <mergeCell ref="L5:P6"/>
    <mergeCell ref="L7:P9"/>
    <mergeCell ref="L10:P10"/>
    <mergeCell ref="B1:Q2"/>
    <mergeCell ref="B3:Q3"/>
    <mergeCell ref="R1:U3"/>
    <mergeCell ref="B5:F6"/>
    <mergeCell ref="B7:F9"/>
    <mergeCell ref="Q5:U6"/>
    <mergeCell ref="Q7:U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8"/>
  <sheetViews>
    <sheetView showGridLines="0" zoomScale="40" zoomScaleNormal="40" workbookViewId="0"/>
  </sheetViews>
  <sheetFormatPr defaultRowHeight="14"/>
  <cols>
    <col min="1" max="22" width="10.4140625" customWidth="1"/>
  </cols>
  <sheetData>
    <row r="1" spans="1:22" ht="12.65" customHeight="1">
      <c r="A1" s="1"/>
      <c r="B1" s="8" t="s">
        <v>14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10" t="s">
        <v>1</v>
      </c>
      <c r="S1" s="10"/>
      <c r="T1" s="10"/>
      <c r="U1" s="10"/>
      <c r="V1" s="1"/>
    </row>
    <row r="2" spans="1:22" ht="12.65" customHeight="1">
      <c r="A2" s="1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10"/>
      <c r="S2" s="10"/>
      <c r="T2" s="10"/>
      <c r="U2" s="10"/>
      <c r="V2" s="1"/>
    </row>
    <row r="3" spans="1:22" ht="12.65" customHeight="1">
      <c r="A3" s="1"/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10"/>
      <c r="T3" s="10"/>
      <c r="U3" s="10"/>
      <c r="V3" s="1"/>
    </row>
    <row r="4" spans="1:22" ht="12.6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ht="12.65" customHeight="1">
      <c r="A5" s="7"/>
      <c r="B5" s="11" t="s">
        <v>16</v>
      </c>
      <c r="C5" s="11"/>
      <c r="D5" s="11"/>
      <c r="E5" s="11"/>
      <c r="F5" s="11"/>
      <c r="G5" s="11" t="s">
        <v>17</v>
      </c>
      <c r="H5" s="11"/>
      <c r="I5" s="11"/>
      <c r="J5" s="11"/>
      <c r="K5" s="11"/>
      <c r="L5" s="11" t="s">
        <v>18</v>
      </c>
      <c r="M5" s="11"/>
      <c r="N5" s="11"/>
      <c r="O5" s="11"/>
      <c r="P5" s="11"/>
      <c r="Q5" s="11" t="s">
        <v>19</v>
      </c>
      <c r="R5" s="11"/>
      <c r="S5" s="11"/>
      <c r="T5" s="11"/>
      <c r="U5" s="11"/>
      <c r="V5" s="7"/>
    </row>
    <row r="6" spans="1:22" ht="12.65" customHeight="1">
      <c r="A6" s="7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7"/>
    </row>
    <row r="7" spans="1:22" ht="12.65" customHeight="1">
      <c r="A7" s="7"/>
      <c r="B7" s="15">
        <f>SUMIF('Chart Data'!S3:S5,"On Time",'Chart Data'!T3:T5)</f>
        <v>88649</v>
      </c>
      <c r="C7" s="13"/>
      <c r="D7" s="13"/>
      <c r="E7" s="13"/>
      <c r="F7" s="13"/>
      <c r="G7" s="18">
        <f>'Chart Data'!AF7</f>
        <v>8.1128985447157839E-2</v>
      </c>
      <c r="H7" s="13"/>
      <c r="I7" s="13"/>
      <c r="J7" s="13"/>
      <c r="K7" s="13"/>
      <c r="L7" s="19">
        <f>'Chart Data'!AF8</f>
        <v>4.08642062404257</v>
      </c>
      <c r="M7" s="13"/>
      <c r="N7" s="13"/>
      <c r="O7" s="13"/>
      <c r="P7" s="13"/>
      <c r="Q7" s="12">
        <f>SUM('Chart Data'!Q3:Q6)</f>
        <v>16008872.119999997</v>
      </c>
      <c r="R7" s="13"/>
      <c r="S7" s="13"/>
      <c r="T7" s="13"/>
      <c r="U7" s="13"/>
      <c r="V7" s="7"/>
    </row>
    <row r="8" spans="1:22" ht="12.65" customHeight="1">
      <c r="A8" s="7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7"/>
    </row>
    <row r="9" spans="1:22" ht="12.65" customHeight="1">
      <c r="A9" s="7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7"/>
    </row>
    <row r="10" spans="1:22" ht="12.65" customHeight="1">
      <c r="A10" s="7"/>
      <c r="B10" s="14" t="s">
        <v>20</v>
      </c>
      <c r="C10" s="14"/>
      <c r="D10" s="14"/>
      <c r="E10" s="14"/>
      <c r="F10" s="14"/>
      <c r="G10" s="14" t="s">
        <v>21</v>
      </c>
      <c r="H10" s="14"/>
      <c r="I10" s="14"/>
      <c r="J10" s="14"/>
      <c r="K10" s="14"/>
      <c r="L10" s="14" t="s">
        <v>22</v>
      </c>
      <c r="M10" s="14"/>
      <c r="N10" s="14"/>
      <c r="O10" s="14"/>
      <c r="P10" s="14"/>
      <c r="Q10" s="14" t="s">
        <v>23</v>
      </c>
      <c r="R10" s="14"/>
      <c r="S10" s="14"/>
      <c r="T10" s="14"/>
      <c r="U10" s="14"/>
      <c r="V10" s="7"/>
    </row>
    <row r="11" spans="1:22" ht="12.6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2.65" customHeight="1">
      <c r="A12" s="7"/>
      <c r="B12" s="17" t="s">
        <v>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7"/>
    </row>
    <row r="13" spans="1:22" ht="12.6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ht="12.6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ht="12.6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ht="12.6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ht="12.6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6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ht="12.6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ht="12.6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ht="12.6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ht="12.6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ht="12.6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6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ht="12.6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ht="12.6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ht="12.6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ht="12.6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ht="12.6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2.6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6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6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2.6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2.6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2.65" customHeight="1">
      <c r="A35" s="7"/>
      <c r="B35" s="17" t="s">
        <v>25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7"/>
    </row>
    <row r="36" spans="1:22" ht="12.6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2.6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2.6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2.6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2.6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2.6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2.6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2.6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2.6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2.6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2.6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2.6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2.6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2.6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2.6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6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2.6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ht="12.6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2.6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2.6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2.6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2.6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2.6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2.65" customHeight="1">
      <c r="A59" s="7"/>
      <c r="B59" s="20" t="s">
        <v>26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7"/>
    </row>
    <row r="60" spans="1:22" ht="12.65" customHeight="1">
      <c r="A60" s="7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7"/>
    </row>
    <row r="61" spans="1:22" ht="12.6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2.6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2.6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2.6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2.6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ht="12.6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2.6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2.6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</sheetData>
  <mergeCells count="18">
    <mergeCell ref="Q10:U10"/>
    <mergeCell ref="B12:U12"/>
    <mergeCell ref="B35:U35"/>
    <mergeCell ref="B59:U60"/>
    <mergeCell ref="B10:F10"/>
    <mergeCell ref="G5:K6"/>
    <mergeCell ref="G7:K9"/>
    <mergeCell ref="G10:K10"/>
    <mergeCell ref="L5:P6"/>
    <mergeCell ref="L7:P9"/>
    <mergeCell ref="L10:P10"/>
    <mergeCell ref="B1:Q2"/>
    <mergeCell ref="B3:Q3"/>
    <mergeCell ref="R1:U3"/>
    <mergeCell ref="B5:F6"/>
    <mergeCell ref="B7:F9"/>
    <mergeCell ref="Q5:U6"/>
    <mergeCell ref="Q7:U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F27"/>
  <sheetViews>
    <sheetView topLeftCell="J1" zoomScale="55" zoomScaleNormal="55" workbookViewId="0">
      <selection activeCell="Q13" sqref="Q13"/>
    </sheetView>
  </sheetViews>
  <sheetFormatPr defaultRowHeight="14"/>
  <cols>
    <col min="1" max="1" width="22" customWidth="1"/>
    <col min="2" max="2" width="17" customWidth="1"/>
    <col min="4" max="4" width="22" customWidth="1"/>
    <col min="5" max="5" width="17" customWidth="1"/>
    <col min="7" max="7" width="22" customWidth="1"/>
    <col min="8" max="8" width="17" customWidth="1"/>
    <col min="10" max="10" width="22" customWidth="1"/>
    <col min="11" max="11" width="17" customWidth="1"/>
    <col min="13" max="13" width="22" customWidth="1"/>
    <col min="14" max="14" width="17" customWidth="1"/>
    <col min="16" max="16" width="22" customWidth="1"/>
    <col min="17" max="17" width="17" customWidth="1"/>
    <col min="19" max="19" width="22" customWidth="1"/>
    <col min="20" max="20" width="17" customWidth="1"/>
    <col min="22" max="22" width="22" customWidth="1"/>
    <col min="23" max="23" width="17" customWidth="1"/>
    <col min="25" max="25" width="22" customWidth="1"/>
    <col min="26" max="26" width="17" customWidth="1"/>
    <col min="28" max="28" width="22" customWidth="1"/>
    <col min="29" max="29" width="17" customWidth="1"/>
    <col min="31" max="31" width="24" customWidth="1"/>
    <col min="32" max="32" width="19" customWidth="1"/>
  </cols>
  <sheetData>
    <row r="2" spans="1:32">
      <c r="A2" s="2" t="s">
        <v>27</v>
      </c>
      <c r="B2" s="2" t="s">
        <v>28</v>
      </c>
      <c r="D2" s="2" t="s">
        <v>27</v>
      </c>
      <c r="E2" s="2" t="s">
        <v>29</v>
      </c>
      <c r="G2" s="2" t="s">
        <v>27</v>
      </c>
      <c r="H2" s="2" t="s">
        <v>30</v>
      </c>
      <c r="J2" s="2" t="s">
        <v>27</v>
      </c>
      <c r="K2" s="2" t="s">
        <v>31</v>
      </c>
      <c r="M2" s="2" t="s">
        <v>27</v>
      </c>
      <c r="N2" s="2" t="s">
        <v>32</v>
      </c>
      <c r="P2" s="2" t="s">
        <v>27</v>
      </c>
      <c r="Q2" s="2" t="s">
        <v>33</v>
      </c>
      <c r="S2" s="2" t="s">
        <v>27</v>
      </c>
      <c r="T2" s="2" t="s">
        <v>34</v>
      </c>
      <c r="V2" s="2" t="s">
        <v>27</v>
      </c>
      <c r="W2" s="2" t="s">
        <v>35</v>
      </c>
      <c r="Y2" s="2" t="s">
        <v>27</v>
      </c>
      <c r="Z2" s="2" t="s">
        <v>36</v>
      </c>
      <c r="AB2" s="2" t="s">
        <v>27</v>
      </c>
      <c r="AC2" s="2" t="s">
        <v>37</v>
      </c>
      <c r="AE2" s="2" t="s">
        <v>38</v>
      </c>
      <c r="AF2" s="2" t="s">
        <v>39</v>
      </c>
    </row>
    <row r="3" spans="1:32">
      <c r="A3" t="s">
        <v>40</v>
      </c>
      <c r="B3" s="3">
        <v>267.36</v>
      </c>
      <c r="D3" t="s">
        <v>41</v>
      </c>
      <c r="E3" s="3">
        <v>1258681.3400000001</v>
      </c>
      <c r="G3" t="s">
        <v>42</v>
      </c>
      <c r="H3" s="3">
        <v>5029301.62</v>
      </c>
      <c r="J3" t="s">
        <v>40</v>
      </c>
      <c r="K3" s="4">
        <v>4</v>
      </c>
      <c r="M3" t="s">
        <v>40</v>
      </c>
      <c r="N3" s="3">
        <v>89.12</v>
      </c>
      <c r="P3" t="s">
        <v>43</v>
      </c>
      <c r="Q3" s="3">
        <v>12542084.189999999</v>
      </c>
      <c r="S3" t="s">
        <v>44</v>
      </c>
      <c r="T3" s="4">
        <v>88649</v>
      </c>
      <c r="V3">
        <v>5</v>
      </c>
      <c r="W3" s="4">
        <v>57328</v>
      </c>
      <c r="Y3" t="s">
        <v>45</v>
      </c>
      <c r="Z3" s="4">
        <v>96478</v>
      </c>
      <c r="AB3" t="s">
        <v>45</v>
      </c>
      <c r="AC3" s="4">
        <v>96478</v>
      </c>
      <c r="AE3" t="s">
        <v>46</v>
      </c>
      <c r="AF3">
        <v>13591643.699999999</v>
      </c>
    </row>
    <row r="4" spans="1:32">
      <c r="A4" t="s">
        <v>47</v>
      </c>
      <c r="B4" s="3">
        <v>49507.66</v>
      </c>
      <c r="D4" t="s">
        <v>48</v>
      </c>
      <c r="E4" s="3">
        <v>1205005.68</v>
      </c>
      <c r="G4" t="s">
        <v>49</v>
      </c>
      <c r="H4" s="3">
        <v>1761061.69</v>
      </c>
      <c r="J4" t="s">
        <v>47</v>
      </c>
      <c r="K4" s="4">
        <v>324</v>
      </c>
      <c r="M4" t="s">
        <v>47</v>
      </c>
      <c r="N4" s="3">
        <v>160.73915584415585</v>
      </c>
      <c r="P4" t="s">
        <v>50</v>
      </c>
      <c r="Q4" s="3">
        <v>2869361.27</v>
      </c>
      <c r="S4" t="s">
        <v>51</v>
      </c>
      <c r="T4" s="4">
        <v>7827</v>
      </c>
      <c r="V4">
        <v>4</v>
      </c>
      <c r="W4" s="4">
        <v>19142</v>
      </c>
      <c r="Y4" t="s">
        <v>52</v>
      </c>
      <c r="Z4" s="4">
        <v>1107</v>
      </c>
      <c r="AB4" t="s">
        <v>52</v>
      </c>
      <c r="AC4" s="4">
        <v>1107</v>
      </c>
      <c r="AE4" t="s">
        <v>53</v>
      </c>
      <c r="AF4">
        <v>99441</v>
      </c>
    </row>
    <row r="5" spans="1:32">
      <c r="A5" t="s">
        <v>54</v>
      </c>
      <c r="B5" s="3">
        <v>10.9</v>
      </c>
      <c r="D5" t="s">
        <v>55</v>
      </c>
      <c r="E5" s="3">
        <v>1036988.68</v>
      </c>
      <c r="G5" t="s">
        <v>56</v>
      </c>
      <c r="H5" s="3">
        <v>1538554.66</v>
      </c>
      <c r="J5" t="s">
        <v>54</v>
      </c>
      <c r="K5" s="4">
        <v>1</v>
      </c>
      <c r="M5" t="s">
        <v>54</v>
      </c>
      <c r="N5" s="3">
        <v>10.9</v>
      </c>
      <c r="P5" t="s">
        <v>57</v>
      </c>
      <c r="Q5" s="3">
        <v>379436.87</v>
      </c>
      <c r="S5" t="s">
        <v>58</v>
      </c>
      <c r="T5" s="4">
        <v>2965</v>
      </c>
      <c r="V5">
        <v>1</v>
      </c>
      <c r="W5" s="4">
        <v>11424</v>
      </c>
      <c r="Y5" t="s">
        <v>59</v>
      </c>
      <c r="Z5" s="4">
        <v>625</v>
      </c>
      <c r="AB5" t="s">
        <v>59</v>
      </c>
      <c r="AC5" s="4">
        <v>625</v>
      </c>
      <c r="AE5" t="s">
        <v>60</v>
      </c>
      <c r="AF5">
        <v>137.75407637889444</v>
      </c>
    </row>
    <row r="6" spans="1:32">
      <c r="A6" t="s">
        <v>61</v>
      </c>
      <c r="B6" s="3">
        <v>120312.87</v>
      </c>
      <c r="D6" t="s">
        <v>62</v>
      </c>
      <c r="E6" s="3">
        <v>988048.97</v>
      </c>
      <c r="G6" t="s">
        <v>63</v>
      </c>
      <c r="H6" s="3">
        <v>724830.45</v>
      </c>
      <c r="J6" t="s">
        <v>61</v>
      </c>
      <c r="K6" s="4">
        <v>800</v>
      </c>
      <c r="M6" t="s">
        <v>61</v>
      </c>
      <c r="N6" s="3">
        <v>152.48779467680609</v>
      </c>
      <c r="P6" t="s">
        <v>64</v>
      </c>
      <c r="Q6" s="3">
        <v>217989.79</v>
      </c>
      <c r="V6">
        <v>3</v>
      </c>
      <c r="W6" s="4">
        <v>8179</v>
      </c>
      <c r="Y6" t="s">
        <v>65</v>
      </c>
      <c r="Z6" s="4">
        <v>609</v>
      </c>
      <c r="AB6" t="s">
        <v>65</v>
      </c>
      <c r="AC6" s="4">
        <v>609</v>
      </c>
      <c r="AE6" t="s">
        <v>66</v>
      </c>
      <c r="AF6">
        <v>96096</v>
      </c>
    </row>
    <row r="7" spans="1:32">
      <c r="A7" t="s">
        <v>67</v>
      </c>
      <c r="B7" s="3">
        <v>247303.02</v>
      </c>
      <c r="D7" t="s">
        <v>68</v>
      </c>
      <c r="E7" s="3">
        <v>911954.32</v>
      </c>
      <c r="G7" t="s">
        <v>69</v>
      </c>
      <c r="H7" s="3">
        <v>663836.18000000005</v>
      </c>
      <c r="J7" t="s">
        <v>67</v>
      </c>
      <c r="K7" s="4">
        <v>1780</v>
      </c>
      <c r="M7" t="s">
        <v>67</v>
      </c>
      <c r="N7" s="3">
        <v>142.70226197345642</v>
      </c>
      <c r="V7">
        <v>2</v>
      </c>
      <c r="W7" s="4">
        <v>3151</v>
      </c>
      <c r="Y7" t="s">
        <v>70</v>
      </c>
      <c r="Z7" s="4">
        <v>314</v>
      </c>
      <c r="AB7" t="s">
        <v>70</v>
      </c>
      <c r="AC7" s="4">
        <v>314</v>
      </c>
      <c r="AE7" t="s">
        <v>71</v>
      </c>
      <c r="AF7" s="5">
        <f>IFERROR(SUMIF(S3:S5,"Late",T3:T5)/(SUMIF(S3:S5,"Late",T3:T5)+SUMIF(S3:S5,"On Time",T3:T5)),0)</f>
        <v>8.1128985447157839E-2</v>
      </c>
    </row>
    <row r="8" spans="1:32">
      <c r="A8" t="s">
        <v>72</v>
      </c>
      <c r="B8" s="3">
        <v>374344.3</v>
      </c>
      <c r="D8" t="s">
        <v>73</v>
      </c>
      <c r="E8" s="3">
        <v>729762.49</v>
      </c>
      <c r="G8" t="s">
        <v>74</v>
      </c>
      <c r="H8" s="3">
        <v>505246.71</v>
      </c>
      <c r="J8" t="s">
        <v>72</v>
      </c>
      <c r="K8" s="4">
        <v>2682</v>
      </c>
      <c r="M8" t="s">
        <v>72</v>
      </c>
      <c r="N8" s="3">
        <v>141.74339265429762</v>
      </c>
      <c r="Y8" t="s">
        <v>75</v>
      </c>
      <c r="Z8" s="4">
        <v>301</v>
      </c>
      <c r="AE8" t="s">
        <v>76</v>
      </c>
      <c r="AF8" s="6">
        <f>IFERROR(SUMPRODUCT(V3:V7,W3:W7)/SUM(W3:W7),0)</f>
        <v>4.08642062404257</v>
      </c>
    </row>
    <row r="9" spans="1:32">
      <c r="A9" t="s">
        <v>77</v>
      </c>
      <c r="B9" s="3">
        <v>359927.23</v>
      </c>
      <c r="D9" t="s">
        <v>78</v>
      </c>
      <c r="E9" s="3">
        <v>635290.85</v>
      </c>
      <c r="G9" t="s">
        <v>79</v>
      </c>
      <c r="H9" s="3">
        <v>497270.03</v>
      </c>
      <c r="J9" t="s">
        <v>77</v>
      </c>
      <c r="K9" s="4">
        <v>2404</v>
      </c>
      <c r="M9" t="s">
        <v>77</v>
      </c>
      <c r="N9" s="3">
        <v>150.53418235048096</v>
      </c>
      <c r="Y9" t="s">
        <v>80</v>
      </c>
      <c r="Z9" s="4">
        <v>5</v>
      </c>
      <c r="AE9" t="s">
        <v>76</v>
      </c>
    </row>
    <row r="10" spans="1:32">
      <c r="A10" t="s">
        <v>81</v>
      </c>
      <c r="B10" s="3">
        <v>506071.14</v>
      </c>
      <c r="D10" t="s">
        <v>82</v>
      </c>
      <c r="E10" s="3">
        <v>632248.66</v>
      </c>
      <c r="G10" t="s">
        <v>83</v>
      </c>
      <c r="H10" s="3">
        <v>296259.55</v>
      </c>
      <c r="J10" t="s">
        <v>81</v>
      </c>
      <c r="K10" s="4">
        <v>3700</v>
      </c>
      <c r="M10" t="s">
        <v>81</v>
      </c>
      <c r="N10" s="3">
        <v>138.27080327868853</v>
      </c>
      <c r="Y10" t="s">
        <v>84</v>
      </c>
      <c r="Z10" s="4">
        <v>2</v>
      </c>
    </row>
    <row r="11" spans="1:32">
      <c r="A11" t="s">
        <v>85</v>
      </c>
      <c r="B11" s="3">
        <v>433038.6</v>
      </c>
      <c r="D11" t="s">
        <v>86</v>
      </c>
      <c r="E11" s="3">
        <v>592720.11</v>
      </c>
      <c r="G11" t="s">
        <v>87</v>
      </c>
      <c r="H11" s="3">
        <v>286140.83</v>
      </c>
      <c r="J11" t="s">
        <v>85</v>
      </c>
      <c r="K11" s="4">
        <v>3245</v>
      </c>
      <c r="M11" t="s">
        <v>85</v>
      </c>
      <c r="N11" s="3">
        <v>134.6094497979484</v>
      </c>
    </row>
    <row r="12" spans="1:32">
      <c r="A12" t="s">
        <v>88</v>
      </c>
      <c r="B12" s="3">
        <v>498031.48</v>
      </c>
      <c r="D12" t="s">
        <v>89</v>
      </c>
      <c r="E12" s="3">
        <v>485256.46</v>
      </c>
      <c r="J12" t="s">
        <v>88</v>
      </c>
      <c r="K12" s="4">
        <v>4026</v>
      </c>
      <c r="M12" t="s">
        <v>88</v>
      </c>
      <c r="N12" s="3">
        <v>125.48034265558074</v>
      </c>
    </row>
    <row r="13" spans="1:32">
      <c r="A13" t="s">
        <v>90</v>
      </c>
      <c r="B13" s="3">
        <v>573971.68000000005</v>
      </c>
      <c r="J13" t="s">
        <v>90</v>
      </c>
      <c r="K13" s="4">
        <v>4331</v>
      </c>
      <c r="M13" t="s">
        <v>90</v>
      </c>
      <c r="N13" s="3">
        <v>133.69943629163757</v>
      </c>
    </row>
    <row r="14" spans="1:32">
      <c r="A14" t="s">
        <v>91</v>
      </c>
      <c r="B14" s="3">
        <v>624401.68999999994</v>
      </c>
      <c r="J14" t="s">
        <v>91</v>
      </c>
      <c r="K14" s="4">
        <v>4285</v>
      </c>
      <c r="M14" t="s">
        <v>91</v>
      </c>
      <c r="N14" s="3">
        <v>147.16042658496346</v>
      </c>
    </row>
    <row r="15" spans="1:32">
      <c r="A15" t="s">
        <v>92</v>
      </c>
      <c r="B15" s="3">
        <v>664219.43000000005</v>
      </c>
      <c r="J15" t="s">
        <v>92</v>
      </c>
      <c r="K15" s="4">
        <v>4631</v>
      </c>
      <c r="M15" t="s">
        <v>92</v>
      </c>
      <c r="N15" s="3">
        <v>145.40705560420315</v>
      </c>
    </row>
    <row r="16" spans="1:32">
      <c r="A16" t="s">
        <v>93</v>
      </c>
      <c r="B16" s="3">
        <v>1010271.37</v>
      </c>
      <c r="J16" t="s">
        <v>93</v>
      </c>
      <c r="K16" s="4">
        <v>7544</v>
      </c>
      <c r="M16" t="s">
        <v>93</v>
      </c>
      <c r="N16" s="3">
        <v>135.58869547711717</v>
      </c>
    </row>
    <row r="17" spans="1:14">
      <c r="A17" t="s">
        <v>94</v>
      </c>
      <c r="B17" s="3">
        <v>743914.17</v>
      </c>
      <c r="J17" t="s">
        <v>94</v>
      </c>
      <c r="K17" s="4">
        <v>5673</v>
      </c>
      <c r="M17" t="s">
        <v>94</v>
      </c>
      <c r="N17" s="3">
        <v>132.27492354196303</v>
      </c>
    </row>
    <row r="18" spans="1:14">
      <c r="A18" t="s">
        <v>95</v>
      </c>
      <c r="B18" s="3">
        <v>950030.36</v>
      </c>
      <c r="J18" t="s">
        <v>95</v>
      </c>
      <c r="K18" s="4">
        <v>7269</v>
      </c>
      <c r="M18" t="s">
        <v>95</v>
      </c>
      <c r="N18" s="3">
        <v>131.58315235457064</v>
      </c>
    </row>
    <row r="19" spans="1:14">
      <c r="A19" t="s">
        <v>96</v>
      </c>
      <c r="B19" s="3">
        <v>844178.71</v>
      </c>
      <c r="J19" t="s">
        <v>96</v>
      </c>
      <c r="K19" s="4">
        <v>6728</v>
      </c>
      <c r="M19" t="s">
        <v>96</v>
      </c>
      <c r="N19" s="3">
        <v>126.10975649835673</v>
      </c>
    </row>
    <row r="20" spans="1:14">
      <c r="A20" t="s">
        <v>97</v>
      </c>
      <c r="B20" s="3">
        <v>983213.44</v>
      </c>
      <c r="J20" t="s">
        <v>97</v>
      </c>
      <c r="K20" s="4">
        <v>7211</v>
      </c>
      <c r="M20" t="s">
        <v>97</v>
      </c>
      <c r="N20" s="3">
        <v>136.78539788536449</v>
      </c>
    </row>
    <row r="21" spans="1:14">
      <c r="A21" t="s">
        <v>98</v>
      </c>
      <c r="B21" s="3">
        <v>996647.75</v>
      </c>
      <c r="J21" t="s">
        <v>98</v>
      </c>
      <c r="K21" s="4">
        <v>6939</v>
      </c>
      <c r="M21" t="s">
        <v>98</v>
      </c>
      <c r="N21" s="3">
        <v>143.73345111047016</v>
      </c>
    </row>
    <row r="22" spans="1:14">
      <c r="A22" t="s">
        <v>99</v>
      </c>
      <c r="B22" s="3">
        <v>996517.68</v>
      </c>
      <c r="J22" t="s">
        <v>99</v>
      </c>
      <c r="K22" s="4">
        <v>6873</v>
      </c>
      <c r="M22" t="s">
        <v>99</v>
      </c>
      <c r="N22" s="3">
        <v>145.41334889829272</v>
      </c>
    </row>
    <row r="23" spans="1:14">
      <c r="A23" t="s">
        <v>100</v>
      </c>
      <c r="B23" s="3">
        <v>865124.31</v>
      </c>
      <c r="J23" t="s">
        <v>100</v>
      </c>
      <c r="K23" s="4">
        <v>6167</v>
      </c>
      <c r="M23" t="s">
        <v>100</v>
      </c>
      <c r="N23" s="3">
        <v>140.44225811688312</v>
      </c>
    </row>
    <row r="24" spans="1:14">
      <c r="A24" t="s">
        <v>101</v>
      </c>
      <c r="B24" s="3">
        <v>895507.22</v>
      </c>
      <c r="J24" t="s">
        <v>101</v>
      </c>
      <c r="K24" s="4">
        <v>6292</v>
      </c>
      <c r="M24" t="s">
        <v>101</v>
      </c>
      <c r="N24" s="3">
        <v>142.75581380519688</v>
      </c>
    </row>
    <row r="25" spans="1:14">
      <c r="A25" t="s">
        <v>102</v>
      </c>
      <c r="B25" s="3">
        <v>854686.33</v>
      </c>
      <c r="J25" t="s">
        <v>102</v>
      </c>
      <c r="K25" s="4">
        <v>6512</v>
      </c>
      <c r="M25" t="s">
        <v>102</v>
      </c>
      <c r="N25" s="3">
        <v>132.46843304401736</v>
      </c>
    </row>
    <row r="26" spans="1:14">
      <c r="A26" t="s">
        <v>103</v>
      </c>
      <c r="B26" s="3">
        <v>145</v>
      </c>
      <c r="J26" t="s">
        <v>103</v>
      </c>
      <c r="K26" s="4">
        <v>16</v>
      </c>
      <c r="M26" t="s">
        <v>103</v>
      </c>
      <c r="N26" s="3">
        <v>145</v>
      </c>
    </row>
    <row r="27" spans="1:14">
      <c r="J27" t="s">
        <v>104</v>
      </c>
      <c r="K27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Customer Operations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Hadi X</cp:lastModifiedBy>
  <dcterms:modified xsi:type="dcterms:W3CDTF">2026-10-25T20:25:57Z</dcterms:modified>
</cp:coreProperties>
</file>